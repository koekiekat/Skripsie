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kripsie\"/>
    </mc:Choice>
  </mc:AlternateContent>
  <xr:revisionPtr revIDLastSave="0" documentId="13_ncr:1_{C712A579-4207-4560-AC09-CEA80466D067}" xr6:coauthVersionLast="47" xr6:coauthVersionMax="47" xr10:uidLastSave="{00000000-0000-0000-0000-000000000000}"/>
  <bookViews>
    <workbookView xWindow="-108" yWindow="-108" windowWidth="23256" windowHeight="13176" xr2:uid="{C8E728A1-EE86-46EC-A9AA-11F788815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2" i="1" l="1"/>
  <c r="L10" i="1"/>
  <c r="H7" i="1"/>
  <c r="H6" i="1"/>
  <c r="H5" i="1"/>
  <c r="H4" i="1"/>
  <c r="G7" i="1"/>
  <c r="F7" i="1"/>
  <c r="E7" i="1"/>
  <c r="D7" i="1"/>
  <c r="R20" i="1"/>
  <c r="R21" i="1"/>
  <c r="R19" i="1"/>
  <c r="N19" i="1"/>
  <c r="R18" i="1"/>
  <c r="N16" i="1"/>
  <c r="R15" i="1"/>
  <c r="R11" i="1"/>
  <c r="R10" i="1"/>
  <c r="P10" i="1"/>
  <c r="Q11" i="1"/>
  <c r="Q12" i="1"/>
  <c r="R12" i="1" s="1"/>
  <c r="Q14" i="1"/>
  <c r="R14" i="1" s="1"/>
  <c r="Q15" i="1"/>
  <c r="Q17" i="1"/>
  <c r="R17" i="1" s="1"/>
  <c r="Q18" i="1"/>
  <c r="Q20" i="1"/>
  <c r="Q21" i="1"/>
  <c r="O21" i="1"/>
  <c r="P21" i="1" s="1"/>
  <c r="O20" i="1"/>
  <c r="P20" i="1" s="1"/>
  <c r="O17" i="1"/>
  <c r="P17" i="1" s="1"/>
  <c r="O18" i="1"/>
  <c r="P18" i="1" s="1"/>
  <c r="O14" i="1"/>
  <c r="P14" i="1" s="1"/>
  <c r="O15" i="1"/>
  <c r="O11" i="1"/>
  <c r="P11" i="1" s="1"/>
  <c r="O12" i="1"/>
  <c r="P12" i="1" s="1"/>
  <c r="M20" i="1"/>
  <c r="N20" i="1" s="1"/>
  <c r="M21" i="1"/>
  <c r="N21" i="1" s="1"/>
  <c r="M17" i="1"/>
  <c r="N17" i="1" s="1"/>
  <c r="M18" i="1"/>
  <c r="N18" i="1" s="1"/>
  <c r="M14" i="1"/>
  <c r="N14" i="1" s="1"/>
  <c r="M15" i="1"/>
  <c r="Q19" i="1"/>
  <c r="Q16" i="1"/>
  <c r="R16" i="1" s="1"/>
  <c r="Q13" i="1"/>
  <c r="R13" i="1" s="1"/>
  <c r="O19" i="1"/>
  <c r="P19" i="1" s="1"/>
  <c r="O16" i="1"/>
  <c r="P16" i="1" s="1"/>
  <c r="O13" i="1"/>
  <c r="P13" i="1" s="1"/>
  <c r="M19" i="1"/>
  <c r="M16" i="1"/>
  <c r="M13" i="1"/>
  <c r="Q10" i="1"/>
  <c r="O10" i="1"/>
  <c r="M11" i="1"/>
  <c r="N11" i="1" s="1"/>
  <c r="M12" i="1"/>
  <c r="N12" i="1" s="1"/>
  <c r="M10" i="1"/>
  <c r="N10" i="1" s="1"/>
  <c r="L20" i="1"/>
  <c r="L21" i="1"/>
  <c r="L19" i="1"/>
  <c r="L17" i="1"/>
  <c r="L18" i="1"/>
  <c r="L16" i="1"/>
  <c r="L14" i="1"/>
  <c r="L15" i="1"/>
  <c r="P15" i="1" s="1"/>
  <c r="L13" i="1"/>
  <c r="N13" i="1" s="1"/>
  <c r="L11" i="1"/>
  <c r="L12" i="1"/>
  <c r="S19" i="1" l="1"/>
  <c r="S16" i="1"/>
  <c r="N15" i="1"/>
  <c r="S13" i="1" s="1"/>
  <c r="S10" i="1"/>
  <c r="N22" i="1"/>
  <c r="P22" i="1"/>
  <c r="R22" i="1"/>
</calcChain>
</file>

<file path=xl/sharedStrings.xml><?xml version="1.0" encoding="utf-8"?>
<sst xmlns="http://schemas.openxmlformats.org/spreadsheetml/2006/main" count="39" uniqueCount="17">
  <si>
    <t>Date</t>
  </si>
  <si>
    <t>ST-42</t>
  </si>
  <si>
    <t>MT-42</t>
  </si>
  <si>
    <t>BT-42</t>
  </si>
  <si>
    <t>TD</t>
  </si>
  <si>
    <t>Total</t>
  </si>
  <si>
    <t>22/04/2023</t>
  </si>
  <si>
    <t>26/04/2023</t>
  </si>
  <si>
    <t>29/04/2023</t>
  </si>
  <si>
    <t>Templates</t>
  </si>
  <si>
    <t>Calibration</t>
  </si>
  <si>
    <t>Test</t>
  </si>
  <si>
    <t>ST_42</t>
  </si>
  <si>
    <t>MT_42</t>
  </si>
  <si>
    <t>BT_42</t>
  </si>
  <si>
    <t>Num from file</t>
  </si>
  <si>
    <t>% from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</si>
</sst>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9CB9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2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indent="1"/>
    </xf>
    <xf numFmtId="0" fontId="2" fillId="3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indent="1"/>
    </xf>
    <xf numFmtId="9" fontId="0" fillId="0" borderId="9" xfId="0" applyNumberFormat="1" applyBorder="1"/>
    <xf numFmtId="9" fontId="0" fillId="0" borderId="1" xfId="0" applyNumberFormat="1" applyBorder="1"/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0" xfId="0" applyFont="1"/>
    <xf numFmtId="0" fontId="4" fillId="4" borderId="10" xfId="0" applyFont="1" applyFill="1" applyBorder="1" applyAlignment="1">
      <alignment horizontal="center" vertical="top"/>
    </xf>
    <xf numFmtId="0" fontId="4" fillId="4" borderId="12" xfId="0" applyFont="1" applyFill="1" applyBorder="1" applyAlignment="1">
      <alignment horizontal="center" vertical="top"/>
    </xf>
    <xf numFmtId="0" fontId="4" fillId="4" borderId="11" xfId="0" applyFont="1" applyFill="1" applyBorder="1" applyAlignment="1">
      <alignment horizontal="center" vertical="top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0" fontId="1" fillId="4" borderId="15" xfId="0" applyFont="1" applyFill="1" applyBorder="1" applyAlignment="1">
      <alignment horizontal="right" vertical="center"/>
    </xf>
    <xf numFmtId="0" fontId="1" fillId="4" borderId="23" xfId="0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right" vertical="center"/>
    </xf>
    <xf numFmtId="9" fontId="0" fillId="0" borderId="20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top" indent="1"/>
    </xf>
    <xf numFmtId="0" fontId="0" fillId="5" borderId="1" xfId="0" applyFill="1" applyBorder="1"/>
    <xf numFmtId="1" fontId="0" fillId="6" borderId="9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1" fontId="0" fillId="6" borderId="6" xfId="0" applyNumberForma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top" indent="1"/>
    </xf>
    <xf numFmtId="0" fontId="3" fillId="6" borderId="8" xfId="0" applyFont="1" applyFill="1" applyBorder="1" applyAlignment="1">
      <alignment horizontal="left" vertical="top" indent="1"/>
    </xf>
    <xf numFmtId="0" fontId="3" fillId="7" borderId="6" xfId="0" applyFont="1" applyFill="1" applyBorder="1" applyAlignment="1">
      <alignment horizontal="left" vertical="top" indent="1"/>
    </xf>
    <xf numFmtId="1" fontId="0" fillId="7" borderId="1" xfId="0" applyNumberFormat="1" applyFill="1" applyBorder="1" applyAlignment="1">
      <alignment horizontal="center" vertical="center"/>
    </xf>
    <xf numFmtId="0" fontId="0" fillId="8" borderId="15" xfId="0" applyFill="1" applyBorder="1" applyAlignment="1">
      <alignment horizontal="right"/>
    </xf>
    <xf numFmtId="0" fontId="0" fillId="8" borderId="23" xfId="0" applyFill="1" applyBorder="1" applyAlignment="1">
      <alignment horizontal="right"/>
    </xf>
    <xf numFmtId="0" fontId="0" fillId="8" borderId="22" xfId="0" applyFill="1" applyBorder="1" applyAlignment="1">
      <alignment horizontal="right"/>
    </xf>
    <xf numFmtId="0" fontId="0" fillId="8" borderId="25" xfId="0" applyFill="1" applyBorder="1" applyAlignment="1">
      <alignment horizontal="right"/>
    </xf>
    <xf numFmtId="0" fontId="0" fillId="8" borderId="24" xfId="0" applyFill="1" applyBorder="1" applyAlignment="1">
      <alignment horizontal="right"/>
    </xf>
    <xf numFmtId="0" fontId="1" fillId="9" borderId="10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1" fontId="0" fillId="9" borderId="17" xfId="0" applyNumberFormat="1" applyFill="1" applyBorder="1" applyAlignment="1">
      <alignment horizontal="center" vertical="center"/>
    </xf>
    <xf numFmtId="1" fontId="0" fillId="9" borderId="13" xfId="0" applyNumberFormat="1" applyFill="1" applyBorder="1" applyAlignment="1">
      <alignment horizontal="center" vertical="center"/>
    </xf>
    <xf numFmtId="1" fontId="0" fillId="9" borderId="19" xfId="0" applyNumberFormat="1" applyFill="1" applyBorder="1" applyAlignment="1">
      <alignment horizontal="center" vertical="center"/>
    </xf>
    <xf numFmtId="1" fontId="0" fillId="10" borderId="17" xfId="0" applyNumberFormat="1" applyFill="1" applyBorder="1" applyAlignment="1">
      <alignment horizontal="center" vertical="center"/>
    </xf>
    <xf numFmtId="1" fontId="0" fillId="10" borderId="13" xfId="0" applyNumberFormat="1" applyFill="1" applyBorder="1" applyAlignment="1">
      <alignment horizontal="center" vertical="center"/>
    </xf>
    <xf numFmtId="1" fontId="0" fillId="10" borderId="19" xfId="0" applyNumberFormat="1" applyFill="1" applyBorder="1" applyAlignment="1">
      <alignment horizontal="center" vertical="center"/>
    </xf>
    <xf numFmtId="1" fontId="0" fillId="10" borderId="21" xfId="0" applyNumberForma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9C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CF26-BFE1-4F38-A719-476EF71EABBC}">
  <dimension ref="C2:S22"/>
  <sheetViews>
    <sheetView tabSelected="1" workbookViewId="0">
      <selection activeCell="F9" sqref="F9"/>
    </sheetView>
  </sheetViews>
  <sheetFormatPr defaultRowHeight="14.4" x14ac:dyDescent="0.3"/>
  <cols>
    <col min="3" max="3" width="12.77734375" customWidth="1"/>
    <col min="11" max="11" width="10.21875" customWidth="1"/>
    <col min="12" max="12" width="14" customWidth="1"/>
    <col min="13" max="13" width="13.109375" customWidth="1"/>
    <col min="14" max="15" width="13.21875" customWidth="1"/>
    <col min="16" max="16" width="14.88671875" customWidth="1"/>
    <col min="17" max="17" width="13.77734375" customWidth="1"/>
    <col min="18" max="18" width="15.109375" customWidth="1"/>
  </cols>
  <sheetData>
    <row r="2" spans="3:19" ht="15" thickBot="1" x14ac:dyDescent="0.35"/>
    <row r="3" spans="3:19" ht="15" thickBot="1" x14ac:dyDescent="0.35">
      <c r="C3" s="3" t="s">
        <v>0</v>
      </c>
      <c r="D3" s="3" t="s">
        <v>1</v>
      </c>
      <c r="E3" s="1" t="s">
        <v>2</v>
      </c>
      <c r="F3" s="3" t="s">
        <v>3</v>
      </c>
      <c r="G3" s="1" t="s">
        <v>4</v>
      </c>
      <c r="H3" s="3" t="s">
        <v>5</v>
      </c>
    </row>
    <row r="4" spans="3:19" x14ac:dyDescent="0.3">
      <c r="C4" s="4" t="s">
        <v>6</v>
      </c>
      <c r="D4" s="4">
        <v>259</v>
      </c>
      <c r="E4" s="2">
        <v>197</v>
      </c>
      <c r="F4" s="4">
        <v>110</v>
      </c>
      <c r="G4" s="2">
        <v>57</v>
      </c>
      <c r="H4" s="31">
        <f>SUM(D4:G4)</f>
        <v>623</v>
      </c>
    </row>
    <row r="5" spans="3:19" x14ac:dyDescent="0.3">
      <c r="C5" s="4" t="s">
        <v>7</v>
      </c>
      <c r="D5" s="4">
        <v>241</v>
      </c>
      <c r="E5" s="2">
        <v>91</v>
      </c>
      <c r="F5" s="4">
        <v>9</v>
      </c>
      <c r="G5" s="2">
        <v>0</v>
      </c>
      <c r="H5" s="31">
        <f>SUM(D5:G5)</f>
        <v>341</v>
      </c>
    </row>
    <row r="6" spans="3:19" ht="15" thickBot="1" x14ac:dyDescent="0.35">
      <c r="C6" s="4" t="s">
        <v>8</v>
      </c>
      <c r="D6" s="4">
        <v>36</v>
      </c>
      <c r="E6" s="2">
        <v>25</v>
      </c>
      <c r="F6" s="4">
        <v>11</v>
      </c>
      <c r="G6" s="2">
        <v>0</v>
      </c>
      <c r="H6" s="31">
        <f>SUM(D6:G6)</f>
        <v>72</v>
      </c>
    </row>
    <row r="7" spans="3:19" ht="15" thickBot="1" x14ac:dyDescent="0.35">
      <c r="C7" s="54" t="s">
        <v>5</v>
      </c>
      <c r="D7" s="29">
        <f>SUM(D4:D6)</f>
        <v>536</v>
      </c>
      <c r="E7" s="30">
        <f>SUM(E4:E6)</f>
        <v>313</v>
      </c>
      <c r="F7" s="29">
        <f>SUM(F4:F6)</f>
        <v>130</v>
      </c>
      <c r="G7" s="30">
        <f>SUM(G4:G6)</f>
        <v>57</v>
      </c>
      <c r="H7" s="23">
        <f>SUM(H4:H6)</f>
        <v>1036</v>
      </c>
    </row>
    <row r="8" spans="3:19" ht="15" thickBot="1" x14ac:dyDescent="0.35">
      <c r="L8" s="10"/>
      <c r="M8" s="11" t="s">
        <v>6</v>
      </c>
      <c r="N8" s="12"/>
      <c r="O8" s="11" t="s">
        <v>7</v>
      </c>
      <c r="P8" s="12"/>
      <c r="Q8" s="13" t="s">
        <v>8</v>
      </c>
      <c r="R8" s="12"/>
    </row>
    <row r="9" spans="3:19" ht="15" thickBot="1" x14ac:dyDescent="0.35">
      <c r="C9" s="7" t="s">
        <v>9</v>
      </c>
      <c r="D9" s="5">
        <v>0.2</v>
      </c>
      <c r="L9" s="9" t="s">
        <v>5</v>
      </c>
      <c r="M9" s="14" t="s">
        <v>16</v>
      </c>
      <c r="N9" s="15" t="s">
        <v>15</v>
      </c>
      <c r="O9" s="14" t="s">
        <v>16</v>
      </c>
      <c r="P9" s="15" t="s">
        <v>15</v>
      </c>
      <c r="Q9" s="14" t="s">
        <v>16</v>
      </c>
      <c r="R9" s="15" t="s">
        <v>15</v>
      </c>
    </row>
    <row r="10" spans="3:19" ht="15" thickBot="1" x14ac:dyDescent="0.35">
      <c r="C10" s="8" t="s">
        <v>10</v>
      </c>
      <c r="D10" s="5">
        <v>0.7</v>
      </c>
      <c r="J10" s="38" t="s">
        <v>12</v>
      </c>
      <c r="K10" s="19" t="s">
        <v>9</v>
      </c>
      <c r="L10" s="33">
        <f>D9*$D$7</f>
        <v>107.2</v>
      </c>
      <c r="M10" s="16">
        <f>$D$4/$D$7</f>
        <v>0.48320895522388058</v>
      </c>
      <c r="N10" s="47">
        <f>M10*L10</f>
        <v>51.8</v>
      </c>
      <c r="O10" s="16">
        <f>$D$5/$D$7</f>
        <v>0.44962686567164178</v>
      </c>
      <c r="P10" s="47">
        <f>O10*L10</f>
        <v>48.2</v>
      </c>
      <c r="Q10" s="16">
        <f>$D$6/$D$7</f>
        <v>6.7164179104477612E-2</v>
      </c>
      <c r="R10" s="47">
        <f>Q10*L10</f>
        <v>7.2</v>
      </c>
      <c r="S10" s="25">
        <f>N10+N11+N12+P10+P11+P12+R10+R11+R12</f>
        <v>536</v>
      </c>
    </row>
    <row r="11" spans="3:19" ht="15" thickBot="1" x14ac:dyDescent="0.35">
      <c r="C11" s="7" t="s">
        <v>11</v>
      </c>
      <c r="D11" s="6">
        <v>0.1</v>
      </c>
      <c r="J11" s="39"/>
      <c r="K11" s="20" t="s">
        <v>10</v>
      </c>
      <c r="L11" s="34">
        <f t="shared" ref="L11:L12" si="0">D10*$D$7</f>
        <v>375.2</v>
      </c>
      <c r="M11" s="17">
        <f t="shared" ref="M11:M12" si="1">$D$4/$D$7</f>
        <v>0.48320895522388058</v>
      </c>
      <c r="N11" s="48">
        <f>M11*L11</f>
        <v>181.29999999999998</v>
      </c>
      <c r="O11" s="17">
        <f t="shared" ref="O11:O12" si="2">$D$5/$D$7</f>
        <v>0.44962686567164178</v>
      </c>
      <c r="P11" s="48">
        <f>O11*L11</f>
        <v>168.7</v>
      </c>
      <c r="Q11" s="17">
        <f t="shared" ref="Q11:Q12" si="3">$D$6/$D$7</f>
        <v>6.7164179104477612E-2</v>
      </c>
      <c r="R11" s="48">
        <f>Q11*L11</f>
        <v>25.2</v>
      </c>
      <c r="S11" s="26"/>
    </row>
    <row r="12" spans="3:19" ht="15" thickBot="1" x14ac:dyDescent="0.35">
      <c r="J12" s="40"/>
      <c r="K12" s="21" t="s">
        <v>11</v>
      </c>
      <c r="L12" s="35">
        <f t="shared" si="0"/>
        <v>53.6</v>
      </c>
      <c r="M12" s="18">
        <f t="shared" si="1"/>
        <v>0.48320895522388058</v>
      </c>
      <c r="N12" s="49">
        <f>M12*L12</f>
        <v>25.9</v>
      </c>
      <c r="O12" s="18">
        <f t="shared" si="2"/>
        <v>0.44962686567164178</v>
      </c>
      <c r="P12" s="49">
        <f>O12*L12</f>
        <v>24.1</v>
      </c>
      <c r="Q12" s="18">
        <f t="shared" si="3"/>
        <v>6.7164179104477612E-2</v>
      </c>
      <c r="R12" s="49">
        <f>Q12*L12</f>
        <v>3.6</v>
      </c>
      <c r="S12" s="27"/>
    </row>
    <row r="13" spans="3:19" x14ac:dyDescent="0.3">
      <c r="J13" s="41" t="s">
        <v>13</v>
      </c>
      <c r="K13" s="19" t="s">
        <v>9</v>
      </c>
      <c r="L13" s="33">
        <f>D9*$E$7</f>
        <v>62.6</v>
      </c>
      <c r="M13" s="16">
        <f>$E$4/$E$7</f>
        <v>0.62939297124600635</v>
      </c>
      <c r="N13" s="50">
        <f>M13*L13</f>
        <v>39.4</v>
      </c>
      <c r="O13" s="16">
        <f>$E$5/$E$7</f>
        <v>0.29073482428115016</v>
      </c>
      <c r="P13" s="50">
        <f>O13*L13</f>
        <v>18.2</v>
      </c>
      <c r="Q13" s="16">
        <f>$E$6/$E$7</f>
        <v>7.9872204472843447E-2</v>
      </c>
      <c r="R13" s="50">
        <f>Q13*L13</f>
        <v>5</v>
      </c>
      <c r="S13" s="28">
        <f>N13+N14+N15+P13+P14+P15+R13+R14+R15</f>
        <v>313</v>
      </c>
    </row>
    <row r="14" spans="3:19" x14ac:dyDescent="0.3">
      <c r="J14" s="42"/>
      <c r="K14" s="20" t="s">
        <v>10</v>
      </c>
      <c r="L14" s="34">
        <f t="shared" ref="L14:L15" si="4">D10*$E$7</f>
        <v>219.1</v>
      </c>
      <c r="M14" s="17">
        <f t="shared" ref="M14:M15" si="5">$E$4/$E$7</f>
        <v>0.62939297124600635</v>
      </c>
      <c r="N14" s="51">
        <f>M14*L14</f>
        <v>137.89999999999998</v>
      </c>
      <c r="O14" s="17">
        <f t="shared" ref="O14:O15" si="6">$E$5/$E$7</f>
        <v>0.29073482428115016</v>
      </c>
      <c r="P14" s="51">
        <f>O14*L14</f>
        <v>63.699999999999996</v>
      </c>
      <c r="Q14" s="17">
        <f t="shared" ref="Q14:Q15" si="7">$E$6/$E$7</f>
        <v>7.9872204472843447E-2</v>
      </c>
      <c r="R14" s="51">
        <f>Q14*L14</f>
        <v>17.5</v>
      </c>
      <c r="S14" s="26"/>
    </row>
    <row r="15" spans="3:19" ht="15" thickBot="1" x14ac:dyDescent="0.35">
      <c r="J15" s="43"/>
      <c r="K15" s="21" t="s">
        <v>11</v>
      </c>
      <c r="L15" s="36">
        <f t="shared" si="4"/>
        <v>31.3</v>
      </c>
      <c r="M15" s="18">
        <f t="shared" si="5"/>
        <v>0.62939297124600635</v>
      </c>
      <c r="N15" s="52">
        <f>M15*L15</f>
        <v>19.7</v>
      </c>
      <c r="O15" s="18">
        <f t="shared" si="6"/>
        <v>0.29073482428115016</v>
      </c>
      <c r="P15" s="52">
        <f>O15*L15</f>
        <v>9.1</v>
      </c>
      <c r="Q15" s="18">
        <f t="shared" si="7"/>
        <v>7.9872204472843447E-2</v>
      </c>
      <c r="R15" s="52">
        <f>Q15*L15</f>
        <v>2.5</v>
      </c>
      <c r="S15" s="26"/>
    </row>
    <row r="16" spans="3:19" x14ac:dyDescent="0.3">
      <c r="J16" s="44" t="s">
        <v>14</v>
      </c>
      <c r="K16" s="19" t="s">
        <v>9</v>
      </c>
      <c r="L16" s="33">
        <f>D9*$F$7</f>
        <v>26</v>
      </c>
      <c r="M16" s="16">
        <f>$F$4/$F$7</f>
        <v>0.84615384615384615</v>
      </c>
      <c r="N16" s="47">
        <f>M16*L16</f>
        <v>22</v>
      </c>
      <c r="O16" s="16">
        <f>$F$5/$F$7</f>
        <v>6.9230769230769235E-2</v>
      </c>
      <c r="P16" s="47">
        <f>O16*L16</f>
        <v>1.8</v>
      </c>
      <c r="Q16" s="16">
        <f>$F$6/$F$7</f>
        <v>8.461538461538462E-2</v>
      </c>
      <c r="R16" s="47">
        <f>Q16*L16</f>
        <v>2.2000000000000002</v>
      </c>
      <c r="S16" s="25">
        <f>N16+N17+N18+P16+P17+P18+R16+R17+R18</f>
        <v>130</v>
      </c>
    </row>
    <row r="17" spans="10:19" x14ac:dyDescent="0.3">
      <c r="J17" s="45"/>
      <c r="K17" s="20" t="s">
        <v>10</v>
      </c>
      <c r="L17" s="34">
        <f t="shared" ref="L17:L18" si="8">D10*$F$7</f>
        <v>91</v>
      </c>
      <c r="M17" s="17">
        <f t="shared" ref="M17:M18" si="9">$F$4/$F$7</f>
        <v>0.84615384615384615</v>
      </c>
      <c r="N17" s="48">
        <f>M17*L17</f>
        <v>77</v>
      </c>
      <c r="O17" s="17">
        <f t="shared" ref="O17:O18" si="10">$F$5/$F$7</f>
        <v>6.9230769230769235E-2</v>
      </c>
      <c r="P17" s="48">
        <f t="shared" ref="P17:P18" si="11">O17*L17</f>
        <v>6.3000000000000007</v>
      </c>
      <c r="Q17" s="17">
        <f t="shared" ref="Q17:Q18" si="12">$F$6/$F$7</f>
        <v>8.461538461538462E-2</v>
      </c>
      <c r="R17" s="48">
        <f t="shared" ref="R17:R18" si="13">Q17*L17</f>
        <v>7.7</v>
      </c>
      <c r="S17" s="26"/>
    </row>
    <row r="18" spans="10:19" ht="15" thickBot="1" x14ac:dyDescent="0.35">
      <c r="J18" s="46"/>
      <c r="K18" s="21" t="s">
        <v>11</v>
      </c>
      <c r="L18" s="36">
        <f t="shared" si="8"/>
        <v>13</v>
      </c>
      <c r="M18" s="18">
        <f t="shared" si="9"/>
        <v>0.84615384615384615</v>
      </c>
      <c r="N18" s="49">
        <f>M18*L18</f>
        <v>11</v>
      </c>
      <c r="O18" s="18">
        <f t="shared" si="10"/>
        <v>6.9230769230769235E-2</v>
      </c>
      <c r="P18" s="49">
        <f t="shared" si="11"/>
        <v>0.9</v>
      </c>
      <c r="Q18" s="18">
        <f t="shared" si="12"/>
        <v>8.461538461538462E-2</v>
      </c>
      <c r="R18" s="49">
        <f t="shared" si="13"/>
        <v>1.1000000000000001</v>
      </c>
      <c r="S18" s="27"/>
    </row>
    <row r="19" spans="10:19" x14ac:dyDescent="0.3">
      <c r="J19" s="41" t="s">
        <v>4</v>
      </c>
      <c r="K19" s="19" t="s">
        <v>9</v>
      </c>
      <c r="L19" s="37">
        <f>D9*$G$7</f>
        <v>11.4</v>
      </c>
      <c r="M19" s="22">
        <f>$G$4/$G$7</f>
        <v>1</v>
      </c>
      <c r="N19" s="53">
        <f>M19*L19</f>
        <v>11.4</v>
      </c>
      <c r="O19" s="22">
        <f>$G$5/$G$7</f>
        <v>0</v>
      </c>
      <c r="P19" s="53">
        <f>O19*L19</f>
        <v>0</v>
      </c>
      <c r="Q19" s="22">
        <f>$G$6/$G$7</f>
        <v>0</v>
      </c>
      <c r="R19" s="53">
        <f>Q20*L19</f>
        <v>0</v>
      </c>
      <c r="S19" s="28">
        <f>N19+N20+N21+P19+P20+P21+R19+R20+R21</f>
        <v>57</v>
      </c>
    </row>
    <row r="20" spans="10:19" x14ac:dyDescent="0.3">
      <c r="J20" s="42"/>
      <c r="K20" s="20" t="s">
        <v>10</v>
      </c>
      <c r="L20" s="34">
        <f t="shared" ref="L20:L21" si="14">D10*$G$7</f>
        <v>39.9</v>
      </c>
      <c r="M20" s="17">
        <f t="shared" ref="M20:M21" si="15">$G$4/$G$7</f>
        <v>1</v>
      </c>
      <c r="N20" s="51">
        <f t="shared" ref="N20:N21" si="16">M20*L20</f>
        <v>39.9</v>
      </c>
      <c r="O20" s="17">
        <f>$G$5/$G$7</f>
        <v>0</v>
      </c>
      <c r="P20" s="51">
        <f t="shared" ref="P20:P21" si="17">O20*L20</f>
        <v>0</v>
      </c>
      <c r="Q20" s="17">
        <f t="shared" ref="Q20:Q21" si="18">$G$6/$G$7</f>
        <v>0</v>
      </c>
      <c r="R20" s="51">
        <f t="shared" ref="R20:R21" si="19">Q21*L20</f>
        <v>0</v>
      </c>
      <c r="S20" s="26"/>
    </row>
    <row r="21" spans="10:19" ht="15" thickBot="1" x14ac:dyDescent="0.35">
      <c r="J21" s="43"/>
      <c r="K21" s="21" t="s">
        <v>11</v>
      </c>
      <c r="L21" s="36">
        <f t="shared" si="14"/>
        <v>5.7</v>
      </c>
      <c r="M21" s="18">
        <f t="shared" si="15"/>
        <v>1</v>
      </c>
      <c r="N21" s="52">
        <f t="shared" si="16"/>
        <v>5.7</v>
      </c>
      <c r="O21" s="18">
        <f>$G$5/$G$7</f>
        <v>0</v>
      </c>
      <c r="P21" s="52">
        <f t="shared" si="17"/>
        <v>0</v>
      </c>
      <c r="Q21" s="18">
        <f t="shared" si="18"/>
        <v>0</v>
      </c>
      <c r="R21" s="52">
        <f t="shared" si="19"/>
        <v>0</v>
      </c>
      <c r="S21" s="27"/>
    </row>
    <row r="22" spans="10:19" ht="15" thickBot="1" x14ac:dyDescent="0.35">
      <c r="L22" s="24">
        <f>SUM(L10:L21)</f>
        <v>1036</v>
      </c>
      <c r="N22" s="32">
        <f>SUM(N10:N21)</f>
        <v>622.99999999999989</v>
      </c>
      <c r="P22" s="32">
        <f>SUM(P10:P21)</f>
        <v>341</v>
      </c>
      <c r="R22" s="32">
        <f>SUM(R10:R21)</f>
        <v>72</v>
      </c>
    </row>
  </sheetData>
  <mergeCells count="11">
    <mergeCell ref="S10:S12"/>
    <mergeCell ref="S13:S15"/>
    <mergeCell ref="S16:S18"/>
    <mergeCell ref="S19:S21"/>
    <mergeCell ref="J10:J12"/>
    <mergeCell ref="J13:J15"/>
    <mergeCell ref="J16:J18"/>
    <mergeCell ref="J19:J21"/>
    <mergeCell ref="Q8:R8"/>
    <mergeCell ref="O8:P8"/>
    <mergeCell ref="M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Bosch, EC, Miss [26894238@sun.ac.za]</dc:creator>
  <cp:lastModifiedBy>Bosch, EC, Miss [26894238@sun.ac.za]</cp:lastModifiedBy>
  <dcterms:created xsi:type="dcterms:W3CDTF">2026-08-16T08:53:35Z</dcterms:created>
  <dcterms:modified xsi:type="dcterms:W3CDTF">2026-08-16T10:39:20Z</dcterms:modified>
</cp:coreProperties>
</file>